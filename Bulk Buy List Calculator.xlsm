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hidden" name="Dashboard" sheetId="1" r:id="rId5"/>
    <sheet state="hidden" name="Calculations" sheetId="2" r:id="rId6"/>
    <sheet state="visible" name="Instructions" sheetId="3" r:id="rId7"/>
    <sheet state="visible" name="EnglishPokemon" sheetId="4" r:id="rId8"/>
    <sheet state="visible" name="JapanesePokemon" sheetId="5" r:id="rId9"/>
    <sheet state="visible" name="MTG" sheetId="6" r:id="rId10"/>
    <sheet state="visible" name="Quote" sheetId="7" r:id="rId11"/>
  </sheets>
  <definedNames/>
  <calcPr/>
  <extLst>
    <ext uri="GoogleSheetsCustomDataVersion2">
      <go:sheetsCustomData xmlns:go="http://customooxmlschemas.google.com/" r:id="rId12" roundtripDataChecksum="E/GqXj0LaBR6ueVBotjun+0aoe0j1H88ZfOdDyUETk0="/>
    </ext>
  </extLst>
</workbook>
</file>

<file path=xl/sharedStrings.xml><?xml version="1.0" encoding="utf-8"?>
<sst xmlns="http://schemas.openxmlformats.org/spreadsheetml/2006/main" count="194" uniqueCount="179">
  <si>
    <t>OWNER DASHBOARD - COMPETITIVE ANALYSIS &amp; STRATEGY</t>
  </si>
  <si>
    <t>Internal Use Only - Complete Market Intelligence</t>
  </si>
  <si>
    <t>CURRENT CUSTOMER COLLECTION:</t>
  </si>
  <si>
    <t>English Pokemon Total:</t>
  </si>
  <si>
    <t>Japanese Pokemon Total:</t>
  </si>
  <si>
    <t>MTG Total:</t>
  </si>
  <si>
    <t>GRAND TOTAL OFFER:</t>
  </si>
  <si>
    <t>MARKET VALUE ANALYSIS:</t>
  </si>
  <si>
    <t>English Pokemon Market Low:</t>
  </si>
  <si>
    <t>English Pokemon Market High:</t>
  </si>
  <si>
    <t>Japanese Pokemon Market Low:</t>
  </si>
  <si>
    <t>Japanese Pokemon Market High:</t>
  </si>
  <si>
    <t>MTG Market Low:</t>
  </si>
  <si>
    <t>MTG Market High:</t>
  </si>
  <si>
    <t>TOTAL MARKET VALUE LOW:</t>
  </si>
  <si>
    <t>TOTAL MARKET VALUE HIGH:</t>
  </si>
  <si>
    <t>MARKET VALUE MIDPOINT:</t>
  </si>
  <si>
    <t>PRICING STRATEGY ANALYSIS:</t>
  </si>
  <si>
    <t>Strategy 1 - Aggressive (90% of midpoint):</t>
  </si>
  <si>
    <t>Max competitive positioning</t>
  </si>
  <si>
    <t>Strategy 2 - Competitive (85% of midpoint):</t>
  </si>
  <si>
    <t>CURRENT CUSTOMER OFFER</t>
  </si>
  <si>
    <t>Strategy 3 - Conservative (80% of midpoint):</t>
  </si>
  <si>
    <t>High margin strategy</t>
  </si>
  <si>
    <t>Strategy 4 - Volume Discount (75% of midpoint):</t>
  </si>
  <si>
    <t>Large collection incentive</t>
  </si>
  <si>
    <t>PROFIT ANALYSIS (Current Strategy 2):</t>
  </si>
  <si>
    <t>Customer Pays:</t>
  </si>
  <si>
    <t>Market Midpoint Value:</t>
  </si>
  <si>
    <t>Gross Profit Potential:</t>
  </si>
  <si>
    <t>Profit Margin %:</t>
  </si>
  <si>
    <t>COMPETITIVE ADVANTAGE ANALYSIS:</t>
  </si>
  <si>
    <t>Our Offer vs TCG Bulk Kings:</t>
  </si>
  <si>
    <t>+89% higher on Ultra Rares</t>
  </si>
  <si>
    <t>Our Offer vs Full Grip Games:</t>
  </si>
  <si>
    <t>+28% higher on VSTAR/VMAX</t>
  </si>
  <si>
    <t>Our Offer vs Deriums:</t>
  </si>
  <si>
    <t>Competitive match on premium categories</t>
  </si>
  <si>
    <t>Unique Categories We Offer:</t>
  </si>
  <si>
    <t>WOTC Bulk, Japanese, Holo Energy</t>
  </si>
  <si>
    <t>RISK FACTORS:</t>
  </si>
  <si>
    <t>• Market volatility on Pokemon prices</t>
  </si>
  <si>
    <t>• Condition verification required</t>
  </si>
  <si>
    <t>• Specialty items need individual review</t>
  </si>
  <si>
    <t>• Large collections may need volume discounts</t>
  </si>
  <si>
    <t>OWNER RECOMMENDATIONS:</t>
  </si>
  <si>
    <t>• Current 85% strategy is competitively positioned</t>
  </si>
  <si>
    <t>• Consider 90% strategy for collections &gt;$1000</t>
  </si>
  <si>
    <t>• Specialty items can support premium pricing</t>
  </si>
  <si>
    <t>• WOTC and Japanese are high-margin opportunities</t>
  </si>
  <si>
    <t>RATE_TYPE</t>
  </si>
  <si>
    <t>LOW</t>
  </si>
  <si>
    <t>HIGH</t>
  </si>
  <si>
    <t>ENG_Bulk_CU</t>
  </si>
  <si>
    <t>ENG_NonHolo_Rare</t>
  </si>
  <si>
    <t>ENG_Holo_Rare</t>
  </si>
  <si>
    <t>ENG_Reverse_Holo</t>
  </si>
  <si>
    <t>ENG_Holo_Energy</t>
  </si>
  <si>
    <t>ENG_Ultra_Rare</t>
  </si>
  <si>
    <t>ENG_VSTAR_VMAX</t>
  </si>
  <si>
    <t>ENG_Full_Art</t>
  </si>
  <si>
    <t>ENG_Secret_Rare</t>
  </si>
  <si>
    <t>ENG_Stamped_Promo</t>
  </si>
  <si>
    <t>ENG_WOTC_CU</t>
  </si>
  <si>
    <t>ENG_WOTC_Rare</t>
  </si>
  <si>
    <t>ENG_WOTC_Holo</t>
  </si>
  <si>
    <t>ENG_First_Edition</t>
  </si>
  <si>
    <t>ENG_Shadowless</t>
  </si>
  <si>
    <t>ENG_Crystal_Shining</t>
  </si>
  <si>
    <t>JPN_Bulk_CU</t>
  </si>
  <si>
    <t>JPN_Holo_Rare</t>
  </si>
  <si>
    <t>JPN_Holo_Energy</t>
  </si>
  <si>
    <t>JPN_Ultra_Rare</t>
  </si>
  <si>
    <t>JPN_VSTAR_VMAX</t>
  </si>
  <si>
    <t>JPN_Special_Art</t>
  </si>
  <si>
    <t>JPN_Stamped_Promo</t>
  </si>
  <si>
    <t>JPN_Vintage</t>
  </si>
  <si>
    <t>JPN_Crystal_Shining</t>
  </si>
  <si>
    <t>MTG_Bulk_CU</t>
  </si>
  <si>
    <t>MTG_Rare</t>
  </si>
  <si>
    <t>MTG_Mythic</t>
  </si>
  <si>
    <t>MTG_Foil_CU</t>
  </si>
  <si>
    <t>MTG_Foil_Rare</t>
  </si>
  <si>
    <t>MTG_Special</t>
  </si>
  <si>
    <t>MTG_Vintage</t>
  </si>
  <si>
    <t>HOW TO USE:</t>
  </si>
  <si>
    <r>
      <rPr>
        <rFont val="Arial"/>
        <color theme="1"/>
      </rPr>
      <t xml:space="preserve">1. Click </t>
    </r>
    <r>
      <rPr>
        <rFont val="Arial"/>
        <b/>
        <color theme="1"/>
      </rPr>
      <t>File</t>
    </r>
    <r>
      <rPr>
        <rFont val="Arial"/>
        <color theme="1"/>
      </rPr>
      <t xml:space="preserve"> above and select "Make a copy"</t>
    </r>
  </si>
  <si>
    <t>1. Go to each card type sheet (English Pokemon, Japanese Pokemon, MTG)</t>
  </si>
  <si>
    <t>2. Enter your card counts in the yellow input column</t>
  </si>
  <si>
    <t>3. View your offer on the Quote sheet</t>
  </si>
  <si>
    <t>4. Contact us to schedule verification</t>
  </si>
  <si>
    <t>CARD REQUIREMENTS:</t>
  </si>
  <si>
    <t>- Near Mint to Lightly Played condition only</t>
  </si>
  <si>
    <t>- No damaged, heavily played, or bent cards</t>
  </si>
  <si>
    <t>- No fake, proxy, or World Championship cards</t>
  </si>
  <si>
    <t>CONTACT INFO:</t>
  </si>
  <si>
    <t>Email: mateo@abvblo.co</t>
  </si>
  <si>
    <t>POKEMON CARDS - ENGLISH</t>
  </si>
  <si>
    <t>Enter your card counts in column C</t>
  </si>
  <si>
    <t>Card Category</t>
  </si>
  <si>
    <t>Our Cash Offer</t>
  </si>
  <si>
    <t>Your Count</t>
  </si>
  <si>
    <t>Total Value</t>
  </si>
  <si>
    <t>Bulk Commons/Uncommons</t>
  </si>
  <si>
    <t>$5.10 per 1000</t>
  </si>
  <si>
    <t>Non-Holo Rares</t>
  </si>
  <si>
    <t>$17.00 per 1000</t>
  </si>
  <si>
    <t>Holo Rares</t>
  </si>
  <si>
    <t>$42.50 per 1000</t>
  </si>
  <si>
    <t>Reverse Holo</t>
  </si>
  <si>
    <t>$25.50 per 1000</t>
  </si>
  <si>
    <t>Holo Energy Cards</t>
  </si>
  <si>
    <t>$0.13 each</t>
  </si>
  <si>
    <t>Ultra Rares V/EX/GX</t>
  </si>
  <si>
    <t>$0.32 each</t>
  </si>
  <si>
    <t>VSTAR/VMAX</t>
  </si>
  <si>
    <t>$0.45 each</t>
  </si>
  <si>
    <t>Full Art Cards</t>
  </si>
  <si>
    <t>$0.43 each</t>
  </si>
  <si>
    <t>Secret/Rainbow Rares</t>
  </si>
  <si>
    <t>$0.85 each</t>
  </si>
  <si>
    <t>Stamped Promos</t>
  </si>
  <si>
    <t>$1.06 each</t>
  </si>
  <si>
    <t>WOTC Commons/Uncommons</t>
  </si>
  <si>
    <t>$23.38 per 1000</t>
  </si>
  <si>
    <t>WOTC Rares</t>
  </si>
  <si>
    <t>$85.00 per 1000</t>
  </si>
  <si>
    <t>WOTC Holos</t>
  </si>
  <si>
    <t>$170.00 per 1000</t>
  </si>
  <si>
    <t>1st Edition</t>
  </si>
  <si>
    <t>$425.00 per 1000</t>
  </si>
  <si>
    <t>Shadowless</t>
  </si>
  <si>
    <t>$680.00 per 1000</t>
  </si>
  <si>
    <t>Crystal/Shining</t>
  </si>
  <si>
    <t>$25.50 each</t>
  </si>
  <si>
    <t>ENGLISH POKEMON TOTALS</t>
  </si>
  <si>
    <t>POKEMON CARDS - JAPANESE</t>
  </si>
  <si>
    <t>Authentic Japanese cards only - Competitive specialty rates</t>
  </si>
  <si>
    <t>Japanese Bulk C/U/R</t>
  </si>
  <si>
    <t>$1.70 per 1000</t>
  </si>
  <si>
    <t>Japanese Holo Rares</t>
  </si>
  <si>
    <t>$4.25 per 1000</t>
  </si>
  <si>
    <t>Japanese Holo Energy</t>
  </si>
  <si>
    <t>$0.05 each</t>
  </si>
  <si>
    <t>Japanese Ultra Rares</t>
  </si>
  <si>
    <t>$0.09 each</t>
  </si>
  <si>
    <t>Japanese VSTAR/VMAX</t>
  </si>
  <si>
    <t>Japanese Special Art</t>
  </si>
  <si>
    <t>Japanese Stamped Promos</t>
  </si>
  <si>
    <t>$0.26 each</t>
  </si>
  <si>
    <t>Japanese Vintage</t>
  </si>
  <si>
    <t>$0.01 each</t>
  </si>
  <si>
    <t>Japanese Crystal/Shining</t>
  </si>
  <si>
    <t>$12.75 each</t>
  </si>
  <si>
    <t>JAPANESE POKEMON TOTALS</t>
  </si>
  <si>
    <t>MAGIC: THE GATHERING CARDS</t>
  </si>
  <si>
    <t>English MTG cards only - 2025 competitive rates</t>
  </si>
  <si>
    <t>Non-Foil Rares</t>
  </si>
  <si>
    <t>Mythic Rares</t>
  </si>
  <si>
    <t>$140.25 per 1000</t>
  </si>
  <si>
    <t>Foil Commons/Uncommons</t>
  </si>
  <si>
    <t>$148.75 per 1000</t>
  </si>
  <si>
    <t>Foil Rares/Mythics</t>
  </si>
  <si>
    <t>$276.25 per 1000</t>
  </si>
  <si>
    <t>Special/Extended Art</t>
  </si>
  <si>
    <t>Vintage/Reserved List</t>
  </si>
  <si>
    <t>$765.00 per 1000</t>
  </si>
  <si>
    <t>MTG TOTALS</t>
  </si>
  <si>
    <t>YOUR BULK CARD COLLECTION QUOTE</t>
  </si>
  <si>
    <t>Generated: Monday, July 07, 2025 - Valid 7 days</t>
  </si>
  <si>
    <t>Competitive cash offers based on 2025 market rates</t>
  </si>
  <si>
    <t>Collection Type</t>
  </si>
  <si>
    <t>Total Cards</t>
  </si>
  <si>
    <t>English Pokemon</t>
  </si>
  <si>
    <t>Japanese Pokemon</t>
  </si>
  <si>
    <t>Magic: The Gathering</t>
  </si>
  <si>
    <t>TOTAL COLLECTION</t>
  </si>
  <si>
    <t>OUR COMPETITIVE CASH OFFER</t>
  </si>
  <si>
    <t>* Our rates beat major competitors by 25-90%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</si>
</sst>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&quot;$&quot;#,##0.00"/>
    <numFmt numFmtId="165" formatCode="0.0%"/>
  </numFmts>
  <fonts count="8">
    <font>
      <sz val="12.0"/>
      <color theme="1"/>
      <name val="Aptos Narrow"/>
      <scheme val="minor"/>
    </font>
    <font>
      <b/>
      <sz val="16.0"/>
      <color theme="1"/>
      <name val="Aptos Narrow"/>
    </font>
    <font>
      <color theme="1"/>
      <name val="Aptos Narrow"/>
      <scheme val="minor"/>
    </font>
    <font>
      <b/>
      <sz val="12.0"/>
      <color theme="1"/>
      <name val="Aptos Narrow"/>
    </font>
    <font>
      <sz val="12.0"/>
      <color theme="1"/>
      <name val="Aptos Narrow"/>
    </font>
    <font>
      <color theme="1"/>
      <name val="Arial"/>
    </font>
    <font>
      <b/>
      <sz val="14.0"/>
      <color theme="1"/>
      <name val="Aptos Narrow"/>
    </font>
    <font>
      <b/>
      <sz val="18.0"/>
      <color theme="1"/>
      <name val="Aptos Narrow"/>
    </font>
  </fonts>
  <fills count="5">
    <fill>
      <patternFill patternType="none"/>
    </fill>
    <fill>
      <patternFill patternType="lightGray"/>
    </fill>
    <fill>
      <patternFill patternType="solid">
        <fgColor rgb="FFFFC8C8"/>
        <bgColor rgb="FFFFC8C8"/>
      </patternFill>
    </fill>
    <fill>
      <patternFill patternType="solid">
        <fgColor rgb="FF90EE90"/>
        <bgColor rgb="FF90EE90"/>
      </patternFill>
    </fill>
    <fill>
      <patternFill patternType="solid">
        <fgColor rgb="FFFFFFCC"/>
        <bgColor rgb="FFFFFFCC"/>
      </patternFill>
    </fill>
  </fills>
  <borders count="3">
    <border/>
    <border>
      <left/>
      <right/>
      <top/>
      <bottom/>
    </border>
    <border>
      <top style="medium">
        <color rgb="FF000000"/>
      </top>
    </border>
  </borders>
  <cellStyleXfs count="1">
    <xf borderId="0" fillId="0" fontId="0" numFmtId="0" applyAlignment="1" applyFont="1"/>
  </cellStyleXfs>
  <cellXfs count="19">
    <xf borderId="0" fillId="0" fontId="0" numFmtId="0" xfId="0" applyAlignment="1" applyFont="1">
      <alignment readingOrder="0" shrinkToFit="0" vertical="bottom" wrapText="0"/>
    </xf>
    <xf borderId="1" fillId="2" fontId="1" numFmtId="0" xfId="0" applyBorder="1" applyFill="1" applyFont="1"/>
    <xf borderId="0" fillId="0" fontId="2" numFmtId="0" xfId="0" applyFont="1"/>
    <xf borderId="0" fillId="0" fontId="3" numFmtId="0" xfId="0" applyFont="1"/>
    <xf borderId="0" fillId="0" fontId="4" numFmtId="164" xfId="0" applyFont="1" applyNumberFormat="1"/>
    <xf borderId="0" fillId="0" fontId="3" numFmtId="164" xfId="0" applyFont="1" applyNumberFormat="1"/>
    <xf borderId="1" fillId="3" fontId="3" numFmtId="0" xfId="0" applyBorder="1" applyFill="1" applyFont="1"/>
    <xf borderId="1" fillId="3" fontId="3" numFmtId="164" xfId="0" applyBorder="1" applyFont="1" applyNumberFormat="1"/>
    <xf borderId="0" fillId="0" fontId="4" numFmtId="165" xfId="0" applyFont="1" applyNumberFormat="1"/>
    <xf borderId="0" fillId="0" fontId="5" numFmtId="0" xfId="0" applyAlignment="1" applyFont="1">
      <alignment readingOrder="0"/>
    </xf>
    <xf borderId="0" fillId="0" fontId="6" numFmtId="0" xfId="0" applyFont="1"/>
    <xf borderId="1" fillId="4" fontId="4" numFmtId="0" xfId="0" applyBorder="1" applyFill="1" applyFont="1"/>
    <xf borderId="0" fillId="0" fontId="4" numFmtId="0" xfId="0" applyFont="1"/>
    <xf borderId="0" fillId="0" fontId="1" numFmtId="0" xfId="0" applyFont="1"/>
    <xf borderId="0" fillId="0" fontId="4" numFmtId="3" xfId="0" applyFont="1" applyNumberFormat="1"/>
    <xf borderId="2" fillId="0" fontId="3" numFmtId="0" xfId="0" applyBorder="1" applyFont="1"/>
    <xf borderId="2" fillId="0" fontId="3" numFmtId="3" xfId="0" applyBorder="1" applyFont="1" applyNumberFormat="1"/>
    <xf borderId="2" fillId="0" fontId="3" numFmtId="164" xfId="0" applyBorder="1" applyFont="1" applyNumberFormat="1"/>
    <xf borderId="0" fillId="0" fontId="7" numFmtId="164" xfId="0" applyFont="1" applyNumberForma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2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">
    <pageSetUpPr/>
  </sheetPr>
  <sheetViews>
    <sheetView workbookViewId="0"/>
  </sheetViews>
  <sheetFormatPr customHeight="1" defaultColWidth="11.22" defaultRowHeight="15.0"/>
  <cols>
    <col customWidth="1" min="1" max="1" width="35.78"/>
    <col customWidth="1" min="2" max="2" width="36.0"/>
    <col customWidth="1" min="3" max="3" width="30.78"/>
    <col customWidth="1" min="4" max="26" width="10.56"/>
  </cols>
  <sheetData>
    <row r="1" ht="15.75" customHeight="1">
      <c r="A1" s="1" t="s">
        <v>0</v>
      </c>
    </row>
    <row r="2" ht="15.75" customHeight="1">
      <c r="A2" s="2" t="s">
        <v>1</v>
      </c>
    </row>
    <row r="3" ht="15.75" customHeight="1"/>
    <row r="4" ht="15.75" customHeight="1">
      <c r="A4" s="3" t="s">
        <v>2</v>
      </c>
    </row>
    <row r="5" ht="15.75" customHeight="1">
      <c r="A5" s="2" t="s">
        <v>3</v>
      </c>
      <c r="B5" s="4">
        <f>EnglishPokemon!D21</f>
        <v>0</v>
      </c>
    </row>
    <row r="6" ht="15.75" customHeight="1">
      <c r="A6" s="2" t="s">
        <v>4</v>
      </c>
      <c r="B6" s="4">
        <f>JapanesePokemon!D14</f>
        <v>0</v>
      </c>
    </row>
    <row r="7" ht="15.75" customHeight="1">
      <c r="A7" s="2" t="s">
        <v>5</v>
      </c>
      <c r="B7" s="4">
        <f>MTG!D12</f>
        <v>0</v>
      </c>
    </row>
    <row r="8" ht="15.75" customHeight="1">
      <c r="A8" s="3" t="s">
        <v>6</v>
      </c>
      <c r="B8" s="5">
        <f>B5+B6+B7</f>
        <v>0</v>
      </c>
    </row>
    <row r="9" ht="15.75" customHeight="1">
      <c r="B9" s="4"/>
    </row>
    <row r="10" ht="15.75" customHeight="1">
      <c r="A10" s="3" t="s">
        <v>7</v>
      </c>
      <c r="B10" s="4"/>
    </row>
    <row r="11" ht="15.75" customHeight="1">
      <c r="A11" s="2" t="s">
        <v>8</v>
      </c>
      <c r="B11" s="4">
        <f>SUM(EnglishPokemon!C5:C20*Calculations!B2:B17)</f>
        <v>0</v>
      </c>
    </row>
    <row r="12" ht="15.75" customHeight="1">
      <c r="A12" s="2" t="s">
        <v>9</v>
      </c>
      <c r="B12" s="4">
        <f>SUM(EnglishPokemon!C5:C20*Calculations!C2:C17)</f>
        <v>0</v>
      </c>
    </row>
    <row r="13" ht="15.75" customHeight="1">
      <c r="A13" s="2" t="s">
        <v>10</v>
      </c>
      <c r="B13" s="4" t="str">
        <f>SUM(JapanesePokemon!C5:C13*Calculations!B18:B26)</f>
        <v>#VALUE!</v>
      </c>
    </row>
    <row r="14" ht="15.75" customHeight="1">
      <c r="A14" s="2" t="s">
        <v>11</v>
      </c>
      <c r="B14" s="4" t="str">
        <f>SUM(JapanesePokemon!C5:C13*Calculations!C18:C26)</f>
        <v>#VALUE!</v>
      </c>
    </row>
    <row r="15" ht="15.75" customHeight="1">
      <c r="A15" s="2" t="s">
        <v>12</v>
      </c>
      <c r="B15" s="4" t="str">
        <f>SUM(MTG!C5:C11*Calculations!B27:B33)</f>
        <v>#VALUE!</v>
      </c>
    </row>
    <row r="16" ht="15.75" customHeight="1">
      <c r="A16" s="2" t="s">
        <v>13</v>
      </c>
      <c r="B16" s="4" t="str">
        <f>SUM(MTG!C5:C11*Calculations!C27:C33)</f>
        <v>#VALUE!</v>
      </c>
    </row>
    <row r="17" ht="15.75" customHeight="1">
      <c r="B17" s="4"/>
    </row>
    <row r="18" ht="15.75" customHeight="1">
      <c r="A18" s="2" t="s">
        <v>14</v>
      </c>
      <c r="B18" s="4" t="str">
        <f t="shared" ref="B18:B19" si="1">B11+B13+B15</f>
        <v>#VALUE!</v>
      </c>
    </row>
    <row r="19" ht="15.75" customHeight="1">
      <c r="A19" s="2" t="s">
        <v>15</v>
      </c>
      <c r="B19" s="4" t="str">
        <f t="shared" si="1"/>
        <v>#VALUE!</v>
      </c>
    </row>
    <row r="20" ht="15.75" customHeight="1">
      <c r="A20" s="3" t="s">
        <v>16</v>
      </c>
      <c r="B20" s="5" t="str">
        <f>(B18+B19)/2</f>
        <v>#VALUE!</v>
      </c>
    </row>
    <row r="21" ht="15.75" customHeight="1">
      <c r="B21" s="4"/>
    </row>
    <row r="22" ht="15.75" customHeight="1">
      <c r="A22" s="3" t="s">
        <v>17</v>
      </c>
      <c r="B22" s="4"/>
    </row>
    <row r="23" ht="15.75" customHeight="1">
      <c r="A23" s="2" t="s">
        <v>18</v>
      </c>
      <c r="B23" s="4" t="str">
        <f>B20*0.9</f>
        <v>#VALUE!</v>
      </c>
      <c r="C23" s="2" t="s">
        <v>19</v>
      </c>
    </row>
    <row r="24" ht="15.75" customHeight="1">
      <c r="A24" s="6" t="s">
        <v>20</v>
      </c>
      <c r="B24" s="7" t="str">
        <f>B20*0.85</f>
        <v>#VALUE!</v>
      </c>
      <c r="C24" s="6" t="s">
        <v>21</v>
      </c>
    </row>
    <row r="25" ht="15.75" customHeight="1">
      <c r="A25" s="2" t="s">
        <v>22</v>
      </c>
      <c r="B25" s="4" t="str">
        <f>B20*0.8</f>
        <v>#VALUE!</v>
      </c>
      <c r="C25" s="2" t="s">
        <v>23</v>
      </c>
    </row>
    <row r="26" ht="15.75" customHeight="1">
      <c r="A26" s="2" t="s">
        <v>24</v>
      </c>
      <c r="B26" s="4" t="str">
        <f>B20*0.75</f>
        <v>#VALUE!</v>
      </c>
      <c r="C26" s="2" t="s">
        <v>25</v>
      </c>
    </row>
    <row r="27" ht="15.75" customHeight="1">
      <c r="B27" s="4"/>
    </row>
    <row r="28" ht="15.75" customHeight="1">
      <c r="A28" s="3" t="s">
        <v>26</v>
      </c>
      <c r="B28" s="4"/>
    </row>
    <row r="29" ht="15.75" customHeight="1">
      <c r="A29" s="2" t="s">
        <v>27</v>
      </c>
      <c r="B29" s="4" t="str">
        <f>B24</f>
        <v>#VALUE!</v>
      </c>
    </row>
    <row r="30" ht="15.75" customHeight="1">
      <c r="A30" s="2" t="s">
        <v>28</v>
      </c>
      <c r="B30" s="4" t="str">
        <f>B20</f>
        <v>#VALUE!</v>
      </c>
    </row>
    <row r="31" ht="15.75" customHeight="1">
      <c r="A31" s="2" t="s">
        <v>29</v>
      </c>
      <c r="B31" s="4" t="str">
        <f>B30-B29</f>
        <v>#VALUE!</v>
      </c>
    </row>
    <row r="32" ht="15.75" customHeight="1">
      <c r="A32" s="2" t="s">
        <v>30</v>
      </c>
      <c r="B32" s="8" t="str">
        <f>(B31/B30)*100</f>
        <v>#VALUE!</v>
      </c>
    </row>
    <row r="33" ht="15.75" customHeight="1"/>
    <row r="34" ht="15.75" customHeight="1">
      <c r="A34" s="3" t="s">
        <v>31</v>
      </c>
    </row>
    <row r="35" ht="15.75" customHeight="1">
      <c r="A35" s="2" t="s">
        <v>32</v>
      </c>
      <c r="B35" s="2" t="s">
        <v>33</v>
      </c>
    </row>
    <row r="36" ht="15.75" customHeight="1">
      <c r="A36" s="2" t="s">
        <v>34</v>
      </c>
      <c r="B36" s="2" t="s">
        <v>35</v>
      </c>
    </row>
    <row r="37" ht="15.75" customHeight="1">
      <c r="A37" s="2" t="s">
        <v>36</v>
      </c>
      <c r="B37" s="2" t="s">
        <v>37</v>
      </c>
    </row>
    <row r="38" ht="15.75" customHeight="1">
      <c r="A38" s="2" t="s">
        <v>38</v>
      </c>
      <c r="B38" s="2" t="s">
        <v>39</v>
      </c>
    </row>
    <row r="39" ht="15.75" customHeight="1"/>
    <row r="40" ht="15.75" customHeight="1">
      <c r="A40" s="3" t="s">
        <v>40</v>
      </c>
    </row>
    <row r="41" ht="15.75" customHeight="1">
      <c r="A41" s="2" t="s">
        <v>41</v>
      </c>
    </row>
    <row r="42" ht="15.75" customHeight="1">
      <c r="A42" s="2" t="s">
        <v>42</v>
      </c>
    </row>
    <row r="43" ht="15.75" customHeight="1">
      <c r="A43" s="2" t="s">
        <v>43</v>
      </c>
    </row>
    <row r="44" ht="15.75" customHeight="1">
      <c r="A44" s="2" t="s">
        <v>44</v>
      </c>
    </row>
    <row r="45" ht="15.75" customHeight="1"/>
    <row r="46" ht="15.75" customHeight="1">
      <c r="A46" s="3" t="s">
        <v>45</v>
      </c>
    </row>
    <row r="47" ht="15.75" customHeight="1">
      <c r="A47" s="2" t="s">
        <v>46</v>
      </c>
    </row>
    <row r="48" ht="15.75" customHeight="1">
      <c r="A48" s="2" t="s">
        <v>47</v>
      </c>
    </row>
    <row r="49" ht="15.75" customHeight="1">
      <c r="A49" s="2" t="s">
        <v>48</v>
      </c>
    </row>
    <row r="50" ht="15.75" customHeight="1">
      <c r="A50" s="2" t="s">
        <v>49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3" t="s">
        <v>50</v>
      </c>
      <c r="B1" s="3" t="s">
        <v>51</v>
      </c>
      <c r="C1" s="3" t="s">
        <v>52</v>
      </c>
    </row>
    <row r="2" ht="15.75" customHeight="1">
      <c r="A2" s="2" t="s">
        <v>53</v>
      </c>
      <c r="B2" s="2">
        <v>0.005</v>
      </c>
      <c r="C2" s="2">
        <v>0.007</v>
      </c>
    </row>
    <row r="3" ht="15.75" customHeight="1">
      <c r="A3" s="2" t="s">
        <v>54</v>
      </c>
      <c r="B3" s="2">
        <v>0.01</v>
      </c>
      <c r="C3" s="2">
        <v>0.03</v>
      </c>
    </row>
    <row r="4" ht="15.75" customHeight="1">
      <c r="A4" s="2" t="s">
        <v>55</v>
      </c>
      <c r="B4" s="2">
        <v>0.03</v>
      </c>
      <c r="C4" s="2">
        <v>0.07</v>
      </c>
    </row>
    <row r="5" ht="15.75" customHeight="1">
      <c r="A5" s="2" t="s">
        <v>56</v>
      </c>
      <c r="B5" s="2">
        <v>0.03</v>
      </c>
      <c r="C5" s="2">
        <v>0.03</v>
      </c>
    </row>
    <row r="6" ht="15.75" customHeight="1">
      <c r="A6" s="2" t="s">
        <v>57</v>
      </c>
      <c r="B6" s="2">
        <v>0.05</v>
      </c>
      <c r="C6" s="2">
        <v>0.25</v>
      </c>
    </row>
    <row r="7" ht="15.75" customHeight="1">
      <c r="A7" s="2" t="s">
        <v>58</v>
      </c>
      <c r="B7" s="2">
        <v>0.25</v>
      </c>
      <c r="C7" s="2">
        <v>0.5</v>
      </c>
    </row>
    <row r="8" ht="15.75" customHeight="1">
      <c r="A8" s="2" t="s">
        <v>59</v>
      </c>
      <c r="B8" s="2">
        <v>0.45</v>
      </c>
      <c r="C8" s="2">
        <v>0.6</v>
      </c>
    </row>
    <row r="9" ht="15.75" customHeight="1">
      <c r="A9" s="2" t="s">
        <v>60</v>
      </c>
      <c r="B9" s="2">
        <v>0.25</v>
      </c>
      <c r="C9" s="2">
        <v>0.75</v>
      </c>
    </row>
    <row r="10" ht="15.75" customHeight="1">
      <c r="A10" s="2" t="s">
        <v>61</v>
      </c>
      <c r="B10" s="2">
        <v>0.5</v>
      </c>
      <c r="C10" s="2">
        <v>1.5</v>
      </c>
    </row>
    <row r="11" ht="15.75" customHeight="1">
      <c r="A11" s="2" t="s">
        <v>62</v>
      </c>
      <c r="B11" s="2">
        <v>0.5</v>
      </c>
      <c r="C11" s="2">
        <v>2.0</v>
      </c>
    </row>
    <row r="12" ht="15.75" customHeight="1">
      <c r="A12" s="2" t="s">
        <v>63</v>
      </c>
      <c r="B12" s="2">
        <v>0.015</v>
      </c>
      <c r="C12" s="2">
        <v>0.04</v>
      </c>
    </row>
    <row r="13" ht="15.75" customHeight="1">
      <c r="A13" s="2" t="s">
        <v>64</v>
      </c>
      <c r="B13" s="2">
        <v>0.05</v>
      </c>
      <c r="C13" s="2">
        <v>0.15</v>
      </c>
    </row>
    <row r="14" ht="15.75" customHeight="1">
      <c r="A14" s="2" t="s">
        <v>65</v>
      </c>
      <c r="B14" s="2">
        <v>0.1</v>
      </c>
      <c r="C14" s="2">
        <v>0.3</v>
      </c>
    </row>
    <row r="15" ht="15.75" customHeight="1">
      <c r="A15" s="2" t="s">
        <v>66</v>
      </c>
      <c r="B15" s="2">
        <v>0.2</v>
      </c>
      <c r="C15" s="2">
        <v>0.8</v>
      </c>
    </row>
    <row r="16" ht="15.75" customHeight="1">
      <c r="A16" s="2" t="s">
        <v>67</v>
      </c>
      <c r="B16" s="2">
        <v>0.4</v>
      </c>
      <c r="C16" s="2">
        <v>1.2</v>
      </c>
    </row>
    <row r="17" ht="15.75" customHeight="1">
      <c r="A17" s="2" t="s">
        <v>68</v>
      </c>
      <c r="B17" s="2">
        <v>10.0</v>
      </c>
      <c r="C17" s="2">
        <v>50.0</v>
      </c>
    </row>
    <row r="18" ht="15.75" customHeight="1">
      <c r="A18" s="2" t="s">
        <v>69</v>
      </c>
      <c r="B18" s="2">
        <v>0.002</v>
      </c>
      <c r="C18" s="2">
        <v>0.002</v>
      </c>
    </row>
    <row r="19" ht="15.75" customHeight="1">
      <c r="A19" s="2" t="s">
        <v>70</v>
      </c>
      <c r="B19" s="2">
        <v>0.005</v>
      </c>
      <c r="C19" s="2">
        <v>0.005</v>
      </c>
    </row>
    <row r="20" ht="15.75" customHeight="1">
      <c r="A20" s="2" t="s">
        <v>71</v>
      </c>
      <c r="B20" s="2">
        <v>0.02</v>
      </c>
      <c r="C20" s="2">
        <v>0.1</v>
      </c>
    </row>
    <row r="21" ht="15.75" customHeight="1">
      <c r="A21" s="2" t="s">
        <v>72</v>
      </c>
      <c r="B21" s="2">
        <v>0.1</v>
      </c>
      <c r="C21" s="2">
        <v>0.1</v>
      </c>
    </row>
    <row r="22" ht="15.75" customHeight="1">
      <c r="A22" s="2" t="s">
        <v>73</v>
      </c>
      <c r="B22" s="2">
        <v>0.15</v>
      </c>
      <c r="C22" s="2">
        <v>0.15</v>
      </c>
    </row>
    <row r="23" ht="15.75" customHeight="1">
      <c r="A23" s="2" t="s">
        <v>74</v>
      </c>
      <c r="B23" s="2">
        <v>0.03</v>
      </c>
      <c r="C23" s="2">
        <v>0.08</v>
      </c>
    </row>
    <row r="24" ht="15.75" customHeight="1">
      <c r="A24" s="2" t="s">
        <v>75</v>
      </c>
      <c r="B24" s="2">
        <v>0.1</v>
      </c>
      <c r="C24" s="2">
        <v>0.5</v>
      </c>
    </row>
    <row r="25" ht="15.75" customHeight="1">
      <c r="A25" s="2" t="s">
        <v>76</v>
      </c>
      <c r="B25" s="2">
        <v>0.005</v>
      </c>
      <c r="C25" s="2">
        <v>0.025</v>
      </c>
    </row>
    <row r="26" ht="15.75" customHeight="1">
      <c r="A26" s="2" t="s">
        <v>77</v>
      </c>
      <c r="B26" s="2">
        <v>5.0</v>
      </c>
      <c r="C26" s="2">
        <v>25.0</v>
      </c>
    </row>
    <row r="27" ht="15.75" customHeight="1">
      <c r="A27" s="2" t="s">
        <v>78</v>
      </c>
      <c r="B27" s="2">
        <v>0.004</v>
      </c>
      <c r="C27" s="2">
        <v>0.006</v>
      </c>
    </row>
    <row r="28" ht="15.75" customHeight="1">
      <c r="A28" s="2" t="s">
        <v>79</v>
      </c>
      <c r="B28" s="2">
        <v>0.05</v>
      </c>
      <c r="C28" s="2">
        <v>0.15</v>
      </c>
    </row>
    <row r="29" ht="15.75" customHeight="1">
      <c r="A29" s="2" t="s">
        <v>80</v>
      </c>
      <c r="B29" s="2">
        <v>0.08</v>
      </c>
      <c r="C29" s="2">
        <v>0.25</v>
      </c>
    </row>
    <row r="30" ht="15.75" customHeight="1">
      <c r="A30" s="2" t="s">
        <v>81</v>
      </c>
      <c r="B30" s="2">
        <v>0.1</v>
      </c>
      <c r="C30" s="2">
        <v>0.25</v>
      </c>
    </row>
    <row r="31" ht="15.75" customHeight="1">
      <c r="A31" s="2" t="s">
        <v>82</v>
      </c>
      <c r="B31" s="2">
        <v>0.25</v>
      </c>
      <c r="C31" s="2">
        <v>0.4</v>
      </c>
    </row>
    <row r="32" ht="15.75" customHeight="1">
      <c r="A32" s="2" t="s">
        <v>83</v>
      </c>
      <c r="B32" s="2">
        <v>0.2</v>
      </c>
      <c r="C32" s="2">
        <v>0.8</v>
      </c>
    </row>
    <row r="33" ht="15.75" customHeight="1">
      <c r="A33" s="2" t="s">
        <v>84</v>
      </c>
      <c r="B33" s="2">
        <v>0.3</v>
      </c>
      <c r="C33" s="2">
        <v>1.5</v>
      </c>
    </row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5">
    <pageSetUpPr/>
  </sheetPr>
  <sheetViews>
    <sheetView workbookViewId="0"/>
  </sheetViews>
  <sheetFormatPr customHeight="1" defaultColWidth="11.22" defaultRowHeight="15.0"/>
  <cols>
    <col customWidth="1" min="1" max="1" width="60.78"/>
    <col customWidth="1" min="2" max="26" width="10.56"/>
  </cols>
  <sheetData>
    <row r="1" ht="15.75" customHeight="1">
      <c r="A1" s="3" t="s">
        <v>85</v>
      </c>
    </row>
    <row r="2" ht="15.75" customHeight="1">
      <c r="A2" s="9" t="s">
        <v>86</v>
      </c>
    </row>
    <row r="3" ht="15.75" customHeight="1">
      <c r="A3" s="2" t="s">
        <v>87</v>
      </c>
    </row>
    <row r="4" ht="15.75" customHeight="1">
      <c r="A4" s="2" t="s">
        <v>88</v>
      </c>
    </row>
    <row r="5" ht="15.75" customHeight="1">
      <c r="A5" s="2" t="s">
        <v>89</v>
      </c>
    </row>
    <row r="6" ht="15.75" customHeight="1">
      <c r="A6" s="2" t="s">
        <v>90</v>
      </c>
    </row>
    <row r="7" ht="15.75" customHeight="1"/>
    <row r="8" ht="15.75" customHeight="1">
      <c r="A8" s="3" t="s">
        <v>91</v>
      </c>
    </row>
    <row r="9" ht="15.75" customHeight="1">
      <c r="A9" s="2" t="s">
        <v>92</v>
      </c>
    </row>
    <row r="10" ht="15.75" customHeight="1">
      <c r="A10" s="2" t="s">
        <v>93</v>
      </c>
    </row>
    <row r="11" ht="15.75" customHeight="1">
      <c r="A11" s="2" t="s">
        <v>94</v>
      </c>
    </row>
    <row r="12" ht="15.75" customHeight="1"/>
    <row r="13" ht="15.75" customHeight="1">
      <c r="A13" s="3" t="s">
        <v>95</v>
      </c>
    </row>
    <row r="14" ht="15.75" customHeight="1">
      <c r="A14" s="2" t="s">
        <v>96</v>
      </c>
    </row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6">
    <pageSetUpPr/>
  </sheetPr>
  <sheetViews>
    <sheetView workbookViewId="0"/>
  </sheetViews>
  <sheetFormatPr customHeight="1" defaultColWidth="11.22" defaultRowHeight="15.0"/>
  <cols>
    <col customWidth="1" min="1" max="1" width="29.44"/>
    <col customWidth="1" min="2" max="2" width="15.0"/>
    <col customWidth="1" min="3" max="4" width="10.11"/>
    <col customWidth="1" min="5" max="26" width="10.56"/>
  </cols>
  <sheetData>
    <row r="1" ht="15.75" customHeight="1">
      <c r="A1" s="10" t="s">
        <v>97</v>
      </c>
    </row>
    <row r="2" ht="15.75" customHeight="1">
      <c r="A2" s="2" t="s">
        <v>98</v>
      </c>
    </row>
    <row r="3" ht="15.75" customHeight="1"/>
    <row r="4" ht="15.75" customHeight="1">
      <c r="A4" s="3" t="s">
        <v>99</v>
      </c>
      <c r="B4" s="3" t="s">
        <v>100</v>
      </c>
      <c r="C4" s="3" t="s">
        <v>101</v>
      </c>
      <c r="D4" s="3" t="s">
        <v>102</v>
      </c>
    </row>
    <row r="5" ht="15.75" customHeight="1">
      <c r="A5" s="2" t="s">
        <v>103</v>
      </c>
      <c r="B5" s="2" t="s">
        <v>104</v>
      </c>
      <c r="C5" s="11">
        <v>0.0</v>
      </c>
      <c r="D5" s="4">
        <f>C5*((Calculations!B2+Calculations!C2)/2)*0.85</f>
        <v>0</v>
      </c>
    </row>
    <row r="6" ht="15.75" customHeight="1">
      <c r="A6" s="12" t="s">
        <v>105</v>
      </c>
      <c r="B6" s="2" t="s">
        <v>106</v>
      </c>
      <c r="C6" s="11">
        <v>0.0</v>
      </c>
      <c r="D6" s="4">
        <f>C6*((Calculations!B3+Calculations!C3)/2)*0.85</f>
        <v>0</v>
      </c>
    </row>
    <row r="7" ht="15.75" customHeight="1">
      <c r="A7" s="12" t="s">
        <v>107</v>
      </c>
      <c r="B7" s="2" t="s">
        <v>108</v>
      </c>
      <c r="C7" s="11">
        <v>0.0</v>
      </c>
      <c r="D7" s="4">
        <f>C7*((Calculations!B4+Calculations!C4)/2)*0.85</f>
        <v>0</v>
      </c>
    </row>
    <row r="8" ht="15.75" customHeight="1">
      <c r="A8" s="12" t="s">
        <v>109</v>
      </c>
      <c r="B8" s="2" t="s">
        <v>110</v>
      </c>
      <c r="C8" s="11">
        <v>0.0</v>
      </c>
      <c r="D8" s="4">
        <f>C8*((Calculations!B5+Calculations!C5)/2)*0.85</f>
        <v>0</v>
      </c>
    </row>
    <row r="9" ht="15.75" customHeight="1">
      <c r="A9" s="12" t="s">
        <v>111</v>
      </c>
      <c r="B9" s="2" t="s">
        <v>112</v>
      </c>
      <c r="C9" s="11">
        <v>0.0</v>
      </c>
      <c r="D9" s="4">
        <f>C9*((Calculations!B6+Calculations!C6)/2)*0.85</f>
        <v>0</v>
      </c>
    </row>
    <row r="10" ht="15.75" customHeight="1">
      <c r="A10" s="12" t="s">
        <v>113</v>
      </c>
      <c r="B10" s="2" t="s">
        <v>114</v>
      </c>
      <c r="C10" s="11">
        <v>0.0</v>
      </c>
      <c r="D10" s="4">
        <f>C10*((Calculations!B7+Calculations!C7)/2)*0.85</f>
        <v>0</v>
      </c>
    </row>
    <row r="11" ht="15.75" customHeight="1">
      <c r="A11" s="12" t="s">
        <v>115</v>
      </c>
      <c r="B11" s="2" t="s">
        <v>116</v>
      </c>
      <c r="C11" s="11">
        <v>0.0</v>
      </c>
      <c r="D11" s="4">
        <f>C11*((Calculations!B8+Calculations!C8)/2)*0.85</f>
        <v>0</v>
      </c>
    </row>
    <row r="12" ht="15.75" customHeight="1">
      <c r="A12" s="12" t="s">
        <v>117</v>
      </c>
      <c r="B12" s="2" t="s">
        <v>118</v>
      </c>
      <c r="C12" s="11">
        <v>0.0</v>
      </c>
      <c r="D12" s="4">
        <f>C12*((Calculations!B9+Calculations!C9)/2)*0.85</f>
        <v>0</v>
      </c>
    </row>
    <row r="13" ht="15.75" customHeight="1">
      <c r="A13" s="12" t="s">
        <v>119</v>
      </c>
      <c r="B13" s="2" t="s">
        <v>120</v>
      </c>
      <c r="C13" s="11">
        <v>0.0</v>
      </c>
      <c r="D13" s="4">
        <f>C13*((Calculations!B10+Calculations!C10)/2)*0.85</f>
        <v>0</v>
      </c>
    </row>
    <row r="14" ht="15.75" customHeight="1">
      <c r="A14" s="12" t="s">
        <v>121</v>
      </c>
      <c r="B14" s="2" t="s">
        <v>122</v>
      </c>
      <c r="C14" s="11">
        <v>0.0</v>
      </c>
      <c r="D14" s="4">
        <f>C14*((Calculations!B11+Calculations!C11)/2)*0.85</f>
        <v>0</v>
      </c>
    </row>
    <row r="15" ht="15.75" customHeight="1">
      <c r="A15" s="12" t="s">
        <v>123</v>
      </c>
      <c r="B15" s="2" t="s">
        <v>124</v>
      </c>
      <c r="C15" s="11">
        <v>0.0</v>
      </c>
      <c r="D15" s="4">
        <f>C15*((Calculations!B12+Calculations!C12)/2)*0.85</f>
        <v>0</v>
      </c>
    </row>
    <row r="16" ht="15.75" customHeight="1">
      <c r="A16" s="12" t="s">
        <v>125</v>
      </c>
      <c r="B16" s="2" t="s">
        <v>126</v>
      </c>
      <c r="C16" s="11">
        <v>0.0</v>
      </c>
      <c r="D16" s="4">
        <f>C16*((Calculations!B13+Calculations!C13)/2)*0.85</f>
        <v>0</v>
      </c>
    </row>
    <row r="17" ht="15.75" customHeight="1">
      <c r="A17" s="12" t="s">
        <v>127</v>
      </c>
      <c r="B17" s="2" t="s">
        <v>128</v>
      </c>
      <c r="C17" s="11">
        <v>0.0</v>
      </c>
      <c r="D17" s="4">
        <f>C17*((Calculations!B14+Calculations!C14)/2)*0.85</f>
        <v>0</v>
      </c>
    </row>
    <row r="18" ht="15.75" customHeight="1">
      <c r="A18" s="12" t="s">
        <v>129</v>
      </c>
      <c r="B18" s="2" t="s">
        <v>130</v>
      </c>
      <c r="C18" s="11">
        <v>0.0</v>
      </c>
      <c r="D18" s="4">
        <f>C18*((Calculations!B15+Calculations!C15)/2)*0.85</f>
        <v>0</v>
      </c>
    </row>
    <row r="19" ht="15.75" customHeight="1">
      <c r="A19" s="12" t="s">
        <v>131</v>
      </c>
      <c r="B19" s="2" t="s">
        <v>132</v>
      </c>
      <c r="C19" s="11">
        <v>0.0</v>
      </c>
      <c r="D19" s="4">
        <f>C19*((Calculations!B16+Calculations!C16)/2)*0.85</f>
        <v>0</v>
      </c>
    </row>
    <row r="20" ht="15.75" customHeight="1">
      <c r="A20" s="12" t="s">
        <v>133</v>
      </c>
      <c r="B20" s="2" t="s">
        <v>134</v>
      </c>
      <c r="C20" s="11">
        <v>0.0</v>
      </c>
      <c r="D20" s="4">
        <f>C20*((Calculations!B17+Calculations!C17)/2)*0.85</f>
        <v>0</v>
      </c>
    </row>
    <row r="21" ht="15.75" customHeight="1">
      <c r="A21" s="3" t="s">
        <v>135</v>
      </c>
      <c r="D21" s="4">
        <f>SUM(D5:D20)</f>
        <v>0</v>
      </c>
    </row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7">
    <pageSetUpPr/>
  </sheetPr>
  <sheetViews>
    <sheetView workbookViewId="0"/>
  </sheetViews>
  <sheetFormatPr customHeight="1" defaultColWidth="11.22" defaultRowHeight="15.0"/>
  <cols>
    <col customWidth="1" min="1" max="1" width="50.0"/>
    <col customWidth="1" min="2" max="2" width="13.44"/>
    <col customWidth="1" min="3" max="4" width="10.11"/>
    <col customWidth="1" min="5" max="26" width="10.56"/>
  </cols>
  <sheetData>
    <row r="1" ht="15.75" customHeight="1">
      <c r="A1" s="10" t="s">
        <v>136</v>
      </c>
    </row>
    <row r="2" ht="15.75" customHeight="1">
      <c r="A2" s="2" t="s">
        <v>137</v>
      </c>
    </row>
    <row r="3" ht="15.75" customHeight="1"/>
    <row r="4" ht="15.75" customHeight="1">
      <c r="A4" s="3" t="s">
        <v>99</v>
      </c>
      <c r="B4" s="3" t="s">
        <v>100</v>
      </c>
      <c r="C4" s="3" t="s">
        <v>101</v>
      </c>
      <c r="D4" s="3" t="s">
        <v>102</v>
      </c>
    </row>
    <row r="5" ht="15.75" customHeight="1">
      <c r="A5" s="2" t="s">
        <v>138</v>
      </c>
      <c r="B5" s="2" t="s">
        <v>139</v>
      </c>
      <c r="C5" s="11">
        <v>0.0</v>
      </c>
      <c r="D5" s="4">
        <f>C5*((Calculations!B18+Calculations!C18)/2)*0.85</f>
        <v>0</v>
      </c>
    </row>
    <row r="6" ht="15.75" customHeight="1">
      <c r="A6" s="2" t="s">
        <v>140</v>
      </c>
      <c r="B6" s="2" t="s">
        <v>141</v>
      </c>
      <c r="C6" s="11">
        <v>0.0</v>
      </c>
      <c r="D6" s="4">
        <f>C6*((Calculations!B19+Calculations!C19)/2)*0.85</f>
        <v>0</v>
      </c>
    </row>
    <row r="7" ht="15.75" customHeight="1">
      <c r="A7" s="12" t="s">
        <v>142</v>
      </c>
      <c r="B7" s="2" t="s">
        <v>143</v>
      </c>
      <c r="C7" s="11">
        <v>0.0</v>
      </c>
      <c r="D7" s="4">
        <f>C7*((Calculations!B20+Calculations!C20)/2)*0.85</f>
        <v>0</v>
      </c>
    </row>
    <row r="8" ht="15.75" customHeight="1">
      <c r="A8" s="12" t="s">
        <v>144</v>
      </c>
      <c r="B8" s="2" t="s">
        <v>145</v>
      </c>
      <c r="C8" s="11">
        <v>0.0</v>
      </c>
      <c r="D8" s="4">
        <f>C8*((Calculations!B21+Calculations!C21)/2)*0.85</f>
        <v>0</v>
      </c>
    </row>
    <row r="9" ht="15.75" customHeight="1">
      <c r="A9" s="12" t="s">
        <v>146</v>
      </c>
      <c r="B9" s="2" t="s">
        <v>112</v>
      </c>
      <c r="C9" s="11">
        <v>0.0</v>
      </c>
      <c r="D9" s="4">
        <f>C9*((Calculations!B22+Calculations!C22)/2)*0.85</f>
        <v>0</v>
      </c>
    </row>
    <row r="10" ht="15.75" customHeight="1">
      <c r="A10" s="12" t="s">
        <v>147</v>
      </c>
      <c r="B10" s="2" t="s">
        <v>143</v>
      </c>
      <c r="C10" s="11">
        <v>0.0</v>
      </c>
      <c r="D10" s="4">
        <f>C10*((Calculations!B23+Calculations!C23)/2)*0.85</f>
        <v>0</v>
      </c>
    </row>
    <row r="11" ht="15.75" customHeight="1">
      <c r="A11" s="12" t="s">
        <v>148</v>
      </c>
      <c r="B11" s="2" t="s">
        <v>149</v>
      </c>
      <c r="C11" s="11">
        <v>0.0</v>
      </c>
      <c r="D11" s="4">
        <f>C11*((Calculations!B24+Calculations!C24)/2)*0.85</f>
        <v>0</v>
      </c>
    </row>
    <row r="12" ht="15.75" customHeight="1">
      <c r="A12" s="12" t="s">
        <v>150</v>
      </c>
      <c r="B12" s="2" t="s">
        <v>151</v>
      </c>
      <c r="C12" s="11">
        <v>0.0</v>
      </c>
      <c r="D12" s="4">
        <f>C12*((Calculations!B25+Calculations!C25)/2)*0.85</f>
        <v>0</v>
      </c>
    </row>
    <row r="13" ht="15.75" customHeight="1">
      <c r="A13" s="12" t="s">
        <v>152</v>
      </c>
      <c r="B13" s="2" t="s">
        <v>153</v>
      </c>
      <c r="C13" s="11">
        <v>0.0</v>
      </c>
      <c r="D13" s="4">
        <f>C13*((Calculations!B26+Calculations!C26)/2)*0.85</f>
        <v>0</v>
      </c>
    </row>
    <row r="14" ht="15.75" customHeight="1">
      <c r="A14" s="3" t="s">
        <v>154</v>
      </c>
      <c r="D14" s="4">
        <f>SUM(D5:D13)</f>
        <v>0</v>
      </c>
    </row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8">
    <pageSetUpPr/>
  </sheetPr>
  <sheetViews>
    <sheetView workbookViewId="0"/>
  </sheetViews>
  <sheetFormatPr customHeight="1" defaultColWidth="11.22" defaultRowHeight="15.0"/>
  <cols>
    <col customWidth="1" min="1" max="1" width="40.0"/>
    <col customWidth="1" min="2" max="2" width="15.0"/>
    <col customWidth="1" min="3" max="4" width="10.11"/>
    <col customWidth="1" min="5" max="26" width="10.56"/>
  </cols>
  <sheetData>
    <row r="1" ht="15.75" customHeight="1">
      <c r="A1" s="10" t="s">
        <v>155</v>
      </c>
    </row>
    <row r="2" ht="15.75" customHeight="1">
      <c r="A2" s="2" t="s">
        <v>156</v>
      </c>
    </row>
    <row r="3" ht="15.75" customHeight="1"/>
    <row r="4" ht="15.75" customHeight="1">
      <c r="A4" s="3" t="s">
        <v>99</v>
      </c>
      <c r="B4" s="3" t="s">
        <v>100</v>
      </c>
      <c r="C4" s="3" t="s">
        <v>101</v>
      </c>
      <c r="D4" s="3" t="s">
        <v>102</v>
      </c>
    </row>
    <row r="5" ht="15.75" customHeight="1">
      <c r="A5" s="2" t="s">
        <v>103</v>
      </c>
      <c r="B5" s="2" t="s">
        <v>141</v>
      </c>
      <c r="C5" s="11">
        <v>0.0</v>
      </c>
      <c r="D5" s="4">
        <f>C5*((Calculations!B27+Calculations!C27)/2)*0.85</f>
        <v>0</v>
      </c>
    </row>
    <row r="6" ht="15.75" customHeight="1">
      <c r="A6" s="2" t="s">
        <v>157</v>
      </c>
      <c r="B6" s="2" t="s">
        <v>126</v>
      </c>
      <c r="C6" s="11">
        <v>0.0</v>
      </c>
      <c r="D6" s="4">
        <f>C6*((Calculations!B28+Calculations!C28)/2)*0.85</f>
        <v>0</v>
      </c>
    </row>
    <row r="7" ht="15.75" customHeight="1">
      <c r="A7" s="2" t="s">
        <v>158</v>
      </c>
      <c r="B7" s="2" t="s">
        <v>159</v>
      </c>
      <c r="C7" s="11">
        <v>0.0</v>
      </c>
      <c r="D7" s="4">
        <f>C7*((Calculations!B29+Calculations!C29)/2)*0.85</f>
        <v>0</v>
      </c>
    </row>
    <row r="8" ht="15.75" customHeight="1">
      <c r="A8" s="2" t="s">
        <v>160</v>
      </c>
      <c r="B8" s="2" t="s">
        <v>161</v>
      </c>
      <c r="C8" s="11">
        <v>0.0</v>
      </c>
      <c r="D8" s="4">
        <f>C8*((Calculations!B30+Calculations!C30)/2)*0.85</f>
        <v>0</v>
      </c>
    </row>
    <row r="9" ht="15.75" customHeight="1">
      <c r="A9" s="2" t="s">
        <v>162</v>
      </c>
      <c r="B9" s="2" t="s">
        <v>163</v>
      </c>
      <c r="C9" s="11">
        <v>0.0</v>
      </c>
      <c r="D9" s="4">
        <f>C9*((Calculations!B31+Calculations!C31)/2)*0.85</f>
        <v>0</v>
      </c>
    </row>
    <row r="10" ht="15.75" customHeight="1">
      <c r="A10" s="2" t="s">
        <v>164</v>
      </c>
      <c r="B10" s="2" t="s">
        <v>130</v>
      </c>
      <c r="C10" s="11">
        <v>0.0</v>
      </c>
      <c r="D10" s="4">
        <f>C10*((Calculations!B32+Calculations!C32)/2)*0.85</f>
        <v>0</v>
      </c>
    </row>
    <row r="11" ht="15.75" customHeight="1">
      <c r="A11" s="12" t="s">
        <v>165</v>
      </c>
      <c r="B11" s="2" t="s">
        <v>166</v>
      </c>
      <c r="C11" s="11">
        <v>0.0</v>
      </c>
      <c r="D11" s="4">
        <f>C11*((Calculations!B33+Calculations!C33)/2)*0.85</f>
        <v>0</v>
      </c>
    </row>
    <row r="12" ht="15.75" customHeight="1">
      <c r="A12" s="3" t="s">
        <v>167</v>
      </c>
      <c r="D12" s="4">
        <f>SUM(D5:D11)</f>
        <v>0</v>
      </c>
    </row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9">
    <pageSetUpPr/>
  </sheetPr>
  <sheetViews>
    <sheetView workbookViewId="0"/>
  </sheetViews>
  <sheetFormatPr customHeight="1" defaultColWidth="11.22" defaultRowHeight="15.0"/>
  <cols>
    <col customWidth="1" min="1" max="1" width="48.33"/>
    <col customWidth="1" min="2" max="2" width="10.44"/>
    <col customWidth="1" min="3" max="3" width="13.44"/>
    <col customWidth="1" min="4" max="26" width="10.56"/>
  </cols>
  <sheetData>
    <row r="1" ht="15.75" customHeight="1">
      <c r="A1" s="13" t="s">
        <v>168</v>
      </c>
    </row>
    <row r="2" ht="15.75" customHeight="1">
      <c r="A2" s="2" t="s">
        <v>169</v>
      </c>
    </row>
    <row r="3" ht="15.75" customHeight="1">
      <c r="A3" s="2" t="s">
        <v>170</v>
      </c>
    </row>
    <row r="4" ht="15.75" customHeight="1"/>
    <row r="5" ht="15.75" customHeight="1">
      <c r="A5" s="3" t="s">
        <v>171</v>
      </c>
      <c r="B5" s="3" t="s">
        <v>172</v>
      </c>
      <c r="C5" s="3" t="s">
        <v>100</v>
      </c>
    </row>
    <row r="6" ht="15.75" customHeight="1">
      <c r="A6" s="2" t="s">
        <v>173</v>
      </c>
      <c r="B6" s="14">
        <f>SUM(EnglishPokemon!C5:C20)</f>
        <v>0</v>
      </c>
      <c r="C6" s="4">
        <f>EnglishPokemon!D21</f>
        <v>0</v>
      </c>
    </row>
    <row r="7" ht="15.75" customHeight="1">
      <c r="A7" s="2" t="s">
        <v>174</v>
      </c>
      <c r="B7" s="14">
        <f>SUM(JapanesePokemon!C5:C13)</f>
        <v>0</v>
      </c>
      <c r="C7" s="4">
        <f>JapanesePokemon!D14</f>
        <v>0</v>
      </c>
    </row>
    <row r="8" ht="15.75" customHeight="1">
      <c r="A8" s="2" t="s">
        <v>175</v>
      </c>
      <c r="B8" s="14">
        <f>SUM(MTG!C5:C11)</f>
        <v>0</v>
      </c>
      <c r="C8" s="4">
        <f>MTG!D12</f>
        <v>0</v>
      </c>
    </row>
    <row r="9" ht="15.75" customHeight="1">
      <c r="B9" s="14"/>
      <c r="C9" s="4"/>
    </row>
    <row r="10" ht="15.75" customHeight="1">
      <c r="A10" s="15" t="s">
        <v>176</v>
      </c>
      <c r="B10" s="16">
        <f t="shared" ref="B10:C10" si="1">B6+B7+B8</f>
        <v>0</v>
      </c>
      <c r="C10" s="17">
        <f t="shared" si="1"/>
        <v>0</v>
      </c>
    </row>
    <row r="11" ht="15.75" customHeight="1"/>
    <row r="12" ht="15.75" customHeight="1">
      <c r="A12" s="10" t="s">
        <v>177</v>
      </c>
    </row>
    <row r="13" ht="15.75" customHeight="1">
      <c r="A13" s="18">
        <f>C10</f>
        <v>0</v>
      </c>
    </row>
    <row r="14" ht="15.75" customHeight="1"/>
    <row r="15" ht="15.75" customHeight="1">
      <c r="A15" s="2" t="s">
        <v>178</v>
      </c>
    </row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2025-07-07T17:25:02Z</dcterms:created>
  <dc:creator>Matt Allen</dc:creator>
</cp:coreProperties>
</file>